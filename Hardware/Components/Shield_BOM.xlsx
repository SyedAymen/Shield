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yedAymen\Shield\Hardware\Components\"/>
    </mc:Choice>
  </mc:AlternateContent>
  <xr:revisionPtr revIDLastSave="0" documentId="13_ncr:1_{3E6B4E66-D5D4-48B6-83E2-ECE303F8C3C8}" xr6:coauthVersionLast="47" xr6:coauthVersionMax="47" xr10:uidLastSave="{00000000-0000-0000-0000-000000000000}"/>
  <bookViews>
    <workbookView xWindow="-109" yWindow="-109" windowWidth="18775" windowHeight="1065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G25" i="1"/>
  <c r="G26" i="1"/>
  <c r="G27" i="1"/>
  <c r="G28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<sst xmlns="http://schemas.openxmlformats.org/spreadsheetml/2006/main" count="110" uniqueCount="84">
  <si>
    <t>S. NO</t>
  </si>
  <si>
    <t>Description</t>
  </si>
  <si>
    <t>MPU/SKU</t>
  </si>
  <si>
    <t>Qty</t>
  </si>
  <si>
    <t>Price</t>
  </si>
  <si>
    <t>Total</t>
  </si>
  <si>
    <t>Order</t>
  </si>
  <si>
    <t>52 Pin 0.8mm Mini PCIe - Card Edge Connector SMD - Right Angle - Surface Mount</t>
  </si>
  <si>
    <t>PCIE-52P52H</t>
  </si>
  <si>
    <t>SIMCOM A7670C LTE Cat1 PCIe Module A7670C LTE Cat1 Cellular Module With PCIe Compact and Reliable Cellular Connectivity For PCIe Based Devices and Systems</t>
  </si>
  <si>
    <t>RS5604</t>
  </si>
  <si>
    <t>ELECROW LR1302 LoRaWAN Gateway Module With SPI Interface, EU868 Band, SX1302 Chipset, 8 Channel Support For Long-Range Wireless Communication And IoT Applications</t>
  </si>
  <si>
    <t>RS7215</t>
  </si>
  <si>
    <t>USB5744/2G-Microchip-USB Interface, USB Hub Controller, USB 2.0, 3.1, 3 V, 3.6 V, VQFN, 56 Pins</t>
  </si>
  <si>
    <t>USB5744/2G</t>
  </si>
  <si>
    <t>2×40 – 40 Pin Male SMD Double Row Header Strip – 1.27mm Pitch</t>
  </si>
  <si>
    <t>-</t>
  </si>
  <si>
    <t>Order1</t>
  </si>
  <si>
    <t>Order2</t>
  </si>
  <si>
    <t>FFC FPC 22 pin Connector 0.5 mm Pitch SMD</t>
  </si>
  <si>
    <t>TCA9406DCUR-Texas Instruments-2.3V~5.5V 1 2 1.65V~3.6V 24Mbps VSSOP-8-0.5mm Translators, Level Shifters ROHS</t>
  </si>
  <si>
    <t>R213857</t>
  </si>
  <si>
    <t>DS1022-01-2x3S81XB-B-CONNFLY-2x3 Pin 2.54mm Pin Header R/A SMT Type</t>
  </si>
  <si>
    <t>R197821</t>
  </si>
  <si>
    <t>USBLC6-2SC6 - TVS Diode ESD Protection 5.25VWM 17VC Unidirectional SOT-23-3</t>
  </si>
  <si>
    <t>USBLC6-2SC6</t>
  </si>
  <si>
    <t>Sim Card Holder 6pin - Flip Open/Close - SMD Connector</t>
  </si>
  <si>
    <t>SKU: 04592</t>
  </si>
  <si>
    <t>Schottky Diode 5A SMBF - SS54BF</t>
  </si>
  <si>
    <t>SS54BF</t>
  </si>
  <si>
    <t>SMAJ5.0A - 5V 400W ESD Suppressor TVS Diodes 2Pin SMA DO-214AC</t>
  </si>
  <si>
    <t>SMAJ5.0A</t>
  </si>
  <si>
    <t>Resettable Fuse - PTC 33V 1.1A SMD 1812 - SMD1812B110TF/33</t>
  </si>
  <si>
    <t>H1OQC-SUG-25M</t>
  </si>
  <si>
    <t>HC-49US 25MHZ 16PF 20PPM 2Pin DIP Through-Hole Crystal</t>
  </si>
  <si>
    <t>AMS1117-3.3 - 3.3V 1A Fixed Output LDO Linear Voltage Regulator 4-Pin SOT-223</t>
  </si>
  <si>
    <t>AMS1117-3.3</t>
  </si>
  <si>
    <t>AZ1117H-1.8TRE1 - Linear Voltage Regulator 1.8V 1A IC SOT-223-3</t>
  </si>
  <si>
    <t>LM1117S-1.2V - 1.2V 1A Fixed Output LDO Linear Voltage Regulator 3-Pin SOT-223</t>
  </si>
  <si>
    <t>LM1117S-1.2V</t>
  </si>
  <si>
    <t>TPD4E02B04DQAR - TVS Diode 4Cha ESD Protection USB Type-C 8.8V USON-10</t>
  </si>
  <si>
    <t>TPD4E02B04DQAR</t>
  </si>
  <si>
    <t>TPS2051BDBVR-Texas Instruments-2.7V~5.5V 95mΩ 500mA 1 SOT-23-5 Power Distribution Switches ROHS</t>
  </si>
  <si>
    <t>1. MPN: TPS2051BDBVR</t>
  </si>
  <si>
    <t>ESD Array</t>
  </si>
  <si>
    <t>Power Switch</t>
  </si>
  <si>
    <t>1.2 V LDO</t>
  </si>
  <si>
    <t>1.8 V LDO</t>
  </si>
  <si>
    <t>3.3 V LDO</t>
  </si>
  <si>
    <t>Crystal</t>
  </si>
  <si>
    <t>Fuse</t>
  </si>
  <si>
    <t>TVS Diode</t>
  </si>
  <si>
    <t>Schottky Diode</t>
  </si>
  <si>
    <t>Sim Card Holder</t>
  </si>
  <si>
    <t>Level Shifter</t>
  </si>
  <si>
    <t>2x3 for SPI 2.54mm Header</t>
  </si>
  <si>
    <t>22 pin connector</t>
  </si>
  <si>
    <t>1.27mm 2x30 Male Header</t>
  </si>
  <si>
    <t>2.54mm 2x20 Right Angle Female Header</t>
  </si>
  <si>
    <t>USB Hub IC</t>
  </si>
  <si>
    <t>Lora Module</t>
  </si>
  <si>
    <t>LTE Module</t>
  </si>
  <si>
    <t>52 pin mPCIe Connector</t>
  </si>
  <si>
    <t>U262-241N-4BV64</t>
  </si>
  <si>
    <t>USB 3.1 Female Type-C USB Connector SMD 6Pin - U262-061N-4BVC10</t>
  </si>
  <si>
    <t>USB Type C - 24 PIN</t>
  </si>
  <si>
    <t>USB Type C - 6 PIN</t>
  </si>
  <si>
    <t>U262-061N-4BVC10</t>
  </si>
  <si>
    <t>USB Type A</t>
  </si>
  <si>
    <t>USB 3.1 Female Type-C USB Connector SMD 24Pin - U262-241N-4BV64</t>
  </si>
  <si>
    <t>USB 3.0 Female Type-A USB Connector 9Pin Surface Mount</t>
  </si>
  <si>
    <t>U231-091N-4BLRA00-S</t>
  </si>
  <si>
    <t>AP62300Z6-7 - 4.2V-18V 3A Synchronous Buck Converter IC SOT-563</t>
  </si>
  <si>
    <t>Buck Converter for LTE</t>
  </si>
  <si>
    <t>AP62300Z6-7</t>
  </si>
  <si>
    <t>RGB LED</t>
  </si>
  <si>
    <t>WS2812B-V5 - 5V 0.24W Digital RGB LED 4-Pin SMD5050</t>
  </si>
  <si>
    <t>WS2812B-V5</t>
  </si>
  <si>
    <t>MMBT3904-7-F - Bipolar Transistor NPN 40V 200mA 300MHz SOT-23-3</t>
  </si>
  <si>
    <t>NPN Transistor for LED</t>
  </si>
  <si>
    <t>MMBT3904-7-F</t>
  </si>
  <si>
    <t>TXB0102DCUR - 2-Bit Bidirectional Voltage-Level Shifter Auto Direction Sensing 8-Pin VSSOP</t>
  </si>
  <si>
    <t>UART-LTE-MCU</t>
  </si>
  <si>
    <t>TXB0102DCUR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</si>
</sst>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0" borderId="0" xfId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2" fillId="2" borderId="0" xfId="1" applyFill="1" applyAlignment="1">
      <alignment horizontal="center" vertical="top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tca9406dcur/" TargetMode="External"/><Relationship Id="rId13" Type="http://schemas.openxmlformats.org/officeDocument/2006/relationships/hyperlink" Target="https://evelta.com/smaj5-0a-5v-400w-esd-suppressor-tvs-diodes-2pin-sma-do-214ac/" TargetMode="External"/><Relationship Id="rId18" Type="http://schemas.openxmlformats.org/officeDocument/2006/relationships/hyperlink" Target="https://evelta.com/lm1117s-1-2v-htc-1-2v-1a-ldo-voltage-regulator/?sku=052-LM1117S-1.2V" TargetMode="External"/><Relationship Id="rId26" Type="http://schemas.openxmlformats.org/officeDocument/2006/relationships/hyperlink" Target="https://evelta.com/mmbt3904-7-f-bipolar-transistor-npn-40v-200ma-300mhz-sot-23-3/?sku=010-MMBT3904-7-F" TargetMode="External"/><Relationship Id="rId3" Type="http://schemas.openxmlformats.org/officeDocument/2006/relationships/hyperlink" Target="https://rees52.com/products/elecrow-lr1302-lorawan-gateway-module-with-spi-interface-eu868-band-sx1302-chipset-8-channel-support-for-long-range-wireless-communication-and-iot-applications-rs7215?_pos=1&amp;_sid=73b1af60a&amp;_ss=r" TargetMode="External"/><Relationship Id="rId21" Type="http://schemas.openxmlformats.org/officeDocument/2006/relationships/hyperlink" Target="https://evelta.com/usb-3-1-female-type-c-usb-connector-smd-24pin-u262-241n-4bv64/" TargetMode="External"/><Relationship Id="rId7" Type="http://schemas.openxmlformats.org/officeDocument/2006/relationships/hyperlink" Target="https://www.blizzcartz.com/products/j9abef9cba/1769049000005267018" TargetMode="External"/><Relationship Id="rId12" Type="http://schemas.openxmlformats.org/officeDocument/2006/relationships/hyperlink" Target="https://evelta.com/schottky-diode-5a-smbf-ss54bf/" TargetMode="External"/><Relationship Id="rId17" Type="http://schemas.openxmlformats.org/officeDocument/2006/relationships/hyperlink" Target="https://evelta.com/az1117h-1-8tre1-linear-voltage-regulator-1-8v-1a-ic-sot-223-3/" TargetMode="External"/><Relationship Id="rId25" Type="http://schemas.openxmlformats.org/officeDocument/2006/relationships/hyperlink" Target="https://evelta.com/ws2812b-v5-5v-0-24w-digital-rgb-led-4-pin-smd5050/" TargetMode="External"/><Relationship Id="rId2" Type="http://schemas.openxmlformats.org/officeDocument/2006/relationships/hyperlink" Target="https://rees52.com/products/simcom-a7670c-lanv-pcie-b1-b3-b5-b8-b34-b38-b39-b40-b41-cat1-only-data-not-gps-voice-a7670c-lanv-4g-cat1-module-core-board-rs5604?_pos=4&amp;_sid=9e153f71a&amp;_ss=r" TargetMode="External"/><Relationship Id="rId16" Type="http://schemas.openxmlformats.org/officeDocument/2006/relationships/hyperlink" Target="https://evelta.com/ams1117-3-3-advanced-monolithic-systems-3-3v-1a-ldo-voltage-regulator/?sku=043-AMS1117-3.3" TargetMode="External"/><Relationship Id="rId20" Type="http://schemas.openxmlformats.org/officeDocument/2006/relationships/hyperlink" Target="https://robu.in/product/tps2051bdbvr-texas-instruments-2-7v5-5v-95m%CF%89-500ma-1-sot-23-5-power-distribution-switches-rohs/" TargetMode="External"/><Relationship Id="rId1" Type="http://schemas.openxmlformats.org/officeDocument/2006/relationships/hyperlink" Target="https://hubtronics.in/52p-card-edge-connector" TargetMode="External"/><Relationship Id="rId6" Type="http://schemas.openxmlformats.org/officeDocument/2006/relationships/hyperlink" Target="https://evelta.com/1-27mm-2x40-pin-male-berg-header-smt/?sku=083-BS-M-2X40-127-S-SMD" TargetMode="External"/><Relationship Id="rId11" Type="http://schemas.openxmlformats.org/officeDocument/2006/relationships/hyperlink" Target="https://hubtronics.in/sim-card-holder-6pin" TargetMode="External"/><Relationship Id="rId24" Type="http://schemas.openxmlformats.org/officeDocument/2006/relationships/hyperlink" Target="https://evelta.com/ap62300z6-7-4-2v-18v-3a-synchronous-buck-converter-ic-sot-563/" TargetMode="External"/><Relationship Id="rId5" Type="http://schemas.openxmlformats.org/officeDocument/2006/relationships/hyperlink" Target="https://sharvielectronics.com/product/2x40-40-pin-male-smd-double-row-header-strip-1-27mm-pitch/" TargetMode="External"/><Relationship Id="rId15" Type="http://schemas.openxmlformats.org/officeDocument/2006/relationships/hyperlink" Target="https://evelta.com/hc-49us-25mhz-16pf-20ppm-2pin-dip-through-hole-crystal/?sku=087-H1OQC-SUG-25M" TargetMode="External"/><Relationship Id="rId23" Type="http://schemas.openxmlformats.org/officeDocument/2006/relationships/hyperlink" Target="https://evelta.com/usb-3-0-female-type-a-usb-connector-9pin-smd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velta.com/usblc6-2sc6-tvs-diode-esd-protection-5-25vwm-17vc-unidirectional-sot-23-3/?sku=033-USBLC6-2SC6" TargetMode="External"/><Relationship Id="rId19" Type="http://schemas.openxmlformats.org/officeDocument/2006/relationships/hyperlink" Target="https://evelta.com/tpd4e02b04dqar-tvs-diode-4cha-esd-protection-usb-type-c-8-8v-uson-10/" TargetMode="External"/><Relationship Id="rId4" Type="http://schemas.openxmlformats.org/officeDocument/2006/relationships/hyperlink" Target="https://robu.in/product/usb5744-2g-microchip-usb-interface-usb-hub-controller-usb-2-0-3-1-3-v-3-6-v-vqfn-56-pins/" TargetMode="External"/><Relationship Id="rId9" Type="http://schemas.openxmlformats.org/officeDocument/2006/relationships/hyperlink" Target="https://robu.in/product/ds1022-01-2x3s81xb-b-connfly-2x3-pin-2-54mm-pin-header-r-a-smt-type/" TargetMode="External"/><Relationship Id="rId14" Type="http://schemas.openxmlformats.org/officeDocument/2006/relationships/hyperlink" Target="https://evelta.com/resettable-fuse-ptc-33v-1-1a-smd-1812-smd1812b110tf-33/?sku=039-SMD1812B110TF%2F33" TargetMode="External"/><Relationship Id="rId22" Type="http://schemas.openxmlformats.org/officeDocument/2006/relationships/hyperlink" Target="https://evelta.com/usb-3-1-female-type-c-usb-connector-smd-6pin-u262-061n-4bvc10/" TargetMode="External"/><Relationship Id="rId27" Type="http://schemas.openxmlformats.org/officeDocument/2006/relationships/hyperlink" Target="https://evelta.com/txb0102dcur-2-bit-bidirectional-voltage-level-shif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21" zoomScaleNormal="100" workbookViewId="0">
      <selection activeCell="F29" sqref="F29"/>
    </sheetView>
  </sheetViews>
  <sheetFormatPr defaultRowHeight="14.3" x14ac:dyDescent="0.25"/>
  <cols>
    <col min="1" max="1" width="9" style="1"/>
    <col min="2" max="2" width="67.75" style="1" customWidth="1"/>
    <col min="3" max="3" width="15.625" style="1" customWidth="1"/>
    <col min="4" max="4" width="23.25" style="1" customWidth="1"/>
    <col min="5" max="8" width="9" style="3"/>
    <col min="9" max="16384" width="9" style="1"/>
  </cols>
  <sheetData>
    <row r="1" spans="1:9" s="5" customFormat="1" x14ac:dyDescent="0.25">
      <c r="A1" s="5" t="s">
        <v>0</v>
      </c>
      <c r="B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/>
    </row>
    <row r="2" spans="1:9" ht="28.55" x14ac:dyDescent="0.25">
      <c r="A2" s="1">
        <v>1</v>
      </c>
      <c r="B2" s="1" t="s">
        <v>7</v>
      </c>
      <c r="C2" s="1" t="s">
        <v>62</v>
      </c>
      <c r="D2" s="1" t="s">
        <v>8</v>
      </c>
      <c r="E2" s="3">
        <v>2</v>
      </c>
      <c r="F2" s="3">
        <v>77</v>
      </c>
      <c r="G2" s="3">
        <f>E2*F2</f>
        <v>154</v>
      </c>
      <c r="H2" s="4" t="s">
        <v>6</v>
      </c>
    </row>
    <row r="3" spans="1:9" ht="42.8" x14ac:dyDescent="0.25">
      <c r="A3" s="1">
        <v>2</v>
      </c>
      <c r="B3" s="1" t="s">
        <v>9</v>
      </c>
      <c r="C3" s="1" t="s">
        <v>61</v>
      </c>
      <c r="D3" s="1" t="s">
        <v>10</v>
      </c>
      <c r="E3" s="3">
        <v>1</v>
      </c>
      <c r="F3" s="3">
        <v>999</v>
      </c>
      <c r="G3" s="3">
        <f>E3*F3</f>
        <v>999</v>
      </c>
      <c r="H3" s="4" t="s">
        <v>6</v>
      </c>
    </row>
    <row r="4" spans="1:9" ht="42.8" x14ac:dyDescent="0.25">
      <c r="A4" s="1">
        <v>3</v>
      </c>
      <c r="B4" s="1" t="s">
        <v>11</v>
      </c>
      <c r="C4" s="1" t="s">
        <v>60</v>
      </c>
      <c r="D4" s="1" t="s">
        <v>12</v>
      </c>
      <c r="E4" s="3">
        <v>1</v>
      </c>
      <c r="F4" s="3">
        <v>2785</v>
      </c>
      <c r="G4" s="3">
        <f t="shared" ref="G4:G28" si="0">E4*F4</f>
        <v>2785</v>
      </c>
      <c r="H4" s="4" t="s">
        <v>6</v>
      </c>
    </row>
    <row r="5" spans="1:9" ht="28.55" x14ac:dyDescent="0.25">
      <c r="A5" s="1">
        <v>4</v>
      </c>
      <c r="B5" s="1" t="s">
        <v>13</v>
      </c>
      <c r="C5" s="1" t="s">
        <v>59</v>
      </c>
      <c r="D5" s="1" t="s">
        <v>14</v>
      </c>
      <c r="E5" s="3">
        <v>1</v>
      </c>
      <c r="F5" s="3">
        <v>325</v>
      </c>
      <c r="G5" s="3">
        <f t="shared" si="0"/>
        <v>325</v>
      </c>
      <c r="H5" s="4" t="s">
        <v>6</v>
      </c>
    </row>
    <row r="6" spans="1:9" ht="28.55" x14ac:dyDescent="0.25">
      <c r="A6" s="1">
        <v>5</v>
      </c>
      <c r="B6" s="1" t="s">
        <v>15</v>
      </c>
      <c r="C6" s="1" t="s">
        <v>57</v>
      </c>
      <c r="D6" s="1" t="s">
        <v>16</v>
      </c>
      <c r="E6" s="3">
        <v>2</v>
      </c>
      <c r="F6" s="3">
        <v>68</v>
      </c>
      <c r="G6" s="3">
        <f t="shared" si="0"/>
        <v>136</v>
      </c>
      <c r="H6" s="4" t="s">
        <v>17</v>
      </c>
      <c r="I6" s="2" t="s">
        <v>18</v>
      </c>
    </row>
    <row r="7" spans="1:9" x14ac:dyDescent="0.25">
      <c r="A7" s="1">
        <v>6</v>
      </c>
      <c r="B7" s="1" t="s">
        <v>19</v>
      </c>
      <c r="C7" s="1" t="s">
        <v>56</v>
      </c>
      <c r="D7" s="1" t="s">
        <v>16</v>
      </c>
      <c r="E7" s="3">
        <v>2</v>
      </c>
      <c r="F7" s="3">
        <v>49</v>
      </c>
      <c r="G7" s="3">
        <f t="shared" si="0"/>
        <v>98</v>
      </c>
      <c r="H7" s="4" t="s">
        <v>6</v>
      </c>
    </row>
    <row r="8" spans="1:9" ht="28.55" x14ac:dyDescent="0.25">
      <c r="A8" s="1">
        <v>7</v>
      </c>
      <c r="B8" s="1" t="s">
        <v>20</v>
      </c>
      <c r="C8" s="1" t="s">
        <v>54</v>
      </c>
      <c r="D8" s="1" t="s">
        <v>21</v>
      </c>
      <c r="E8" s="3">
        <v>1</v>
      </c>
      <c r="F8" s="3">
        <v>90</v>
      </c>
      <c r="G8" s="3">
        <f t="shared" si="0"/>
        <v>90</v>
      </c>
      <c r="H8" s="4" t="s">
        <v>6</v>
      </c>
    </row>
    <row r="9" spans="1:9" ht="28.55" x14ac:dyDescent="0.25">
      <c r="A9" s="1">
        <v>8</v>
      </c>
      <c r="B9" s="1" t="s">
        <v>22</v>
      </c>
      <c r="C9" s="1" t="s">
        <v>55</v>
      </c>
      <c r="D9" s="1" t="s">
        <v>23</v>
      </c>
      <c r="E9" s="3">
        <v>1</v>
      </c>
      <c r="F9" s="3">
        <v>29</v>
      </c>
      <c r="G9" s="3">
        <f t="shared" si="0"/>
        <v>29</v>
      </c>
      <c r="H9" s="4" t="s">
        <v>6</v>
      </c>
    </row>
    <row r="10" spans="1:9" s="7" customFormat="1" ht="28.55" x14ac:dyDescent="0.25">
      <c r="A10" s="7">
        <v>9</v>
      </c>
      <c r="B10" s="7" t="s">
        <v>24</v>
      </c>
      <c r="D10" s="7" t="s">
        <v>25</v>
      </c>
      <c r="E10" s="8">
        <v>5</v>
      </c>
      <c r="F10" s="8">
        <v>16.34</v>
      </c>
      <c r="G10" s="8">
        <f t="shared" si="0"/>
        <v>81.7</v>
      </c>
      <c r="H10" s="9" t="s">
        <v>6</v>
      </c>
    </row>
    <row r="11" spans="1:9" x14ac:dyDescent="0.25">
      <c r="A11" s="1">
        <v>10</v>
      </c>
      <c r="B11" s="1" t="s">
        <v>26</v>
      </c>
      <c r="C11" s="1" t="s">
        <v>53</v>
      </c>
      <c r="D11" s="1" t="s">
        <v>27</v>
      </c>
      <c r="E11" s="3">
        <v>2</v>
      </c>
      <c r="F11" s="3">
        <v>13</v>
      </c>
      <c r="G11" s="3">
        <f t="shared" si="0"/>
        <v>26</v>
      </c>
      <c r="H11" s="4" t="s">
        <v>6</v>
      </c>
    </row>
    <row r="12" spans="1:9" x14ac:dyDescent="0.25">
      <c r="A12" s="1">
        <v>11</v>
      </c>
      <c r="B12" s="1" t="s">
        <v>28</v>
      </c>
      <c r="C12" s="1" t="s">
        <v>52</v>
      </c>
      <c r="D12" s="1" t="s">
        <v>29</v>
      </c>
      <c r="E12" s="3">
        <v>2</v>
      </c>
      <c r="F12" s="3">
        <v>9.3000000000000007</v>
      </c>
      <c r="G12" s="3">
        <f t="shared" si="0"/>
        <v>18.600000000000001</v>
      </c>
      <c r="H12" s="4" t="s">
        <v>6</v>
      </c>
    </row>
    <row r="13" spans="1:9" x14ac:dyDescent="0.25">
      <c r="A13" s="1">
        <v>12</v>
      </c>
      <c r="B13" s="1" t="s">
        <v>30</v>
      </c>
      <c r="C13" s="1" t="s">
        <v>51</v>
      </c>
      <c r="D13" s="1" t="s">
        <v>31</v>
      </c>
      <c r="E13" s="3">
        <v>2</v>
      </c>
      <c r="F13" s="3">
        <v>3</v>
      </c>
      <c r="G13" s="3">
        <f t="shared" si="0"/>
        <v>6</v>
      </c>
      <c r="H13" s="4" t="s">
        <v>6</v>
      </c>
    </row>
    <row r="14" spans="1:9" x14ac:dyDescent="0.25">
      <c r="A14" s="1">
        <v>13</v>
      </c>
      <c r="B14" s="1" t="s">
        <v>32</v>
      </c>
      <c r="C14" s="1" t="s">
        <v>50</v>
      </c>
      <c r="E14" s="3">
        <v>2</v>
      </c>
      <c r="F14" s="3">
        <v>15</v>
      </c>
      <c r="G14" s="3">
        <f t="shared" si="0"/>
        <v>30</v>
      </c>
      <c r="H14" s="4" t="s">
        <v>6</v>
      </c>
    </row>
    <row r="15" spans="1:9" x14ac:dyDescent="0.25">
      <c r="A15" s="1">
        <v>14</v>
      </c>
      <c r="B15" s="1" t="s">
        <v>34</v>
      </c>
      <c r="C15" s="1" t="s">
        <v>49</v>
      </c>
      <c r="D15" s="1" t="s">
        <v>33</v>
      </c>
      <c r="E15" s="3">
        <v>1</v>
      </c>
      <c r="F15" s="3">
        <v>13</v>
      </c>
      <c r="G15" s="3">
        <f t="shared" si="0"/>
        <v>13</v>
      </c>
      <c r="H15" s="4" t="s">
        <v>6</v>
      </c>
    </row>
    <row r="16" spans="1:9" ht="28.55" x14ac:dyDescent="0.25">
      <c r="A16" s="1">
        <v>15</v>
      </c>
      <c r="B16" s="1" t="s">
        <v>35</v>
      </c>
      <c r="C16" s="1" t="s">
        <v>48</v>
      </c>
      <c r="D16" s="1" t="s">
        <v>36</v>
      </c>
      <c r="E16" s="3">
        <v>2</v>
      </c>
      <c r="F16" s="3">
        <v>13</v>
      </c>
      <c r="G16" s="3">
        <f t="shared" si="0"/>
        <v>26</v>
      </c>
      <c r="H16" s="4" t="s">
        <v>6</v>
      </c>
    </row>
    <row r="17" spans="1:8" x14ac:dyDescent="0.25">
      <c r="A17" s="1">
        <v>16</v>
      </c>
      <c r="B17" s="1" t="s">
        <v>37</v>
      </c>
      <c r="C17" s="1" t="s">
        <v>47</v>
      </c>
      <c r="E17" s="3">
        <v>1</v>
      </c>
      <c r="F17" s="3">
        <v>21</v>
      </c>
      <c r="G17" s="3">
        <f t="shared" si="0"/>
        <v>21</v>
      </c>
      <c r="H17" s="4" t="s">
        <v>6</v>
      </c>
    </row>
    <row r="18" spans="1:8" ht="28.55" x14ac:dyDescent="0.25">
      <c r="A18" s="1">
        <v>17</v>
      </c>
      <c r="B18" s="1" t="s">
        <v>38</v>
      </c>
      <c r="C18" s="1" t="s">
        <v>46</v>
      </c>
      <c r="D18" s="1" t="s">
        <v>39</v>
      </c>
      <c r="E18" s="3">
        <v>1</v>
      </c>
      <c r="F18" s="3">
        <v>16</v>
      </c>
      <c r="G18" s="3">
        <f t="shared" si="0"/>
        <v>16</v>
      </c>
      <c r="H18" s="4" t="s">
        <v>6</v>
      </c>
    </row>
    <row r="19" spans="1:8" x14ac:dyDescent="0.25">
      <c r="A19" s="1">
        <v>18</v>
      </c>
      <c r="B19" s="1" t="s">
        <v>40</v>
      </c>
      <c r="C19" s="1" t="s">
        <v>44</v>
      </c>
      <c r="D19" s="1" t="s">
        <v>41</v>
      </c>
      <c r="E19" s="3">
        <v>4</v>
      </c>
      <c r="F19" s="3">
        <v>42</v>
      </c>
      <c r="G19" s="3">
        <f t="shared" si="0"/>
        <v>168</v>
      </c>
      <c r="H19" s="4" t="s">
        <v>6</v>
      </c>
    </row>
    <row r="20" spans="1:8" ht="28.55" x14ac:dyDescent="0.25">
      <c r="A20" s="1">
        <v>19</v>
      </c>
      <c r="B20" s="1" t="s">
        <v>42</v>
      </c>
      <c r="C20" s="1" t="s">
        <v>45</v>
      </c>
      <c r="D20" s="1" t="s">
        <v>43</v>
      </c>
      <c r="E20" s="3">
        <v>3</v>
      </c>
      <c r="F20" s="3">
        <v>27</v>
      </c>
      <c r="G20" s="3">
        <f t="shared" si="0"/>
        <v>81</v>
      </c>
      <c r="H20" s="4" t="s">
        <v>6</v>
      </c>
    </row>
    <row r="21" spans="1:8" ht="42.8" x14ac:dyDescent="0.25">
      <c r="A21" s="1">
        <v>20</v>
      </c>
      <c r="C21" s="1" t="s">
        <v>58</v>
      </c>
      <c r="G21" s="3">
        <f t="shared" si="0"/>
        <v>0</v>
      </c>
    </row>
    <row r="22" spans="1:8" ht="28.55" x14ac:dyDescent="0.25">
      <c r="A22" s="1">
        <v>21</v>
      </c>
      <c r="B22" s="1" t="s">
        <v>69</v>
      </c>
      <c r="C22" s="1" t="s">
        <v>65</v>
      </c>
      <c r="D22" s="1" t="s">
        <v>63</v>
      </c>
      <c r="E22" s="3">
        <v>1</v>
      </c>
      <c r="F22" s="3">
        <v>75</v>
      </c>
      <c r="G22" s="3">
        <f t="shared" si="0"/>
        <v>75</v>
      </c>
      <c r="H22" s="4" t="s">
        <v>6</v>
      </c>
    </row>
    <row r="23" spans="1:8" ht="28.55" x14ac:dyDescent="0.25">
      <c r="A23" s="1">
        <v>22</v>
      </c>
      <c r="B23" s="1" t="s">
        <v>64</v>
      </c>
      <c r="C23" s="1" t="s">
        <v>66</v>
      </c>
      <c r="D23" s="1" t="s">
        <v>67</v>
      </c>
      <c r="E23" s="3">
        <v>1</v>
      </c>
      <c r="F23" s="3">
        <v>9</v>
      </c>
      <c r="G23" s="3">
        <f t="shared" si="0"/>
        <v>9</v>
      </c>
      <c r="H23" s="4" t="s">
        <v>6</v>
      </c>
    </row>
    <row r="24" spans="1:8" x14ac:dyDescent="0.25">
      <c r="A24" s="1">
        <v>23</v>
      </c>
      <c r="B24" s="1" t="s">
        <v>70</v>
      </c>
      <c r="C24" s="1" t="s">
        <v>68</v>
      </c>
      <c r="D24" s="1" t="s">
        <v>71</v>
      </c>
      <c r="E24" s="3">
        <v>3</v>
      </c>
      <c r="F24" s="3">
        <v>23</v>
      </c>
      <c r="G24" s="3">
        <f t="shared" si="0"/>
        <v>69</v>
      </c>
      <c r="H24" s="4" t="s">
        <v>6</v>
      </c>
    </row>
    <row r="25" spans="1:8" ht="28.55" x14ac:dyDescent="0.25">
      <c r="A25" s="1">
        <v>24</v>
      </c>
      <c r="B25" s="1" t="s">
        <v>72</v>
      </c>
      <c r="C25" s="1" t="s">
        <v>73</v>
      </c>
      <c r="D25" s="1" t="s">
        <v>74</v>
      </c>
      <c r="E25" s="3">
        <v>1</v>
      </c>
      <c r="F25" s="3">
        <v>24</v>
      </c>
      <c r="G25" s="3">
        <f t="shared" si="0"/>
        <v>24</v>
      </c>
      <c r="H25" s="4" t="s">
        <v>6</v>
      </c>
    </row>
    <row r="26" spans="1:8" x14ac:dyDescent="0.25">
      <c r="A26" s="1">
        <v>25</v>
      </c>
      <c r="B26" s="1" t="s">
        <v>76</v>
      </c>
      <c r="C26" s="1" t="s">
        <v>75</v>
      </c>
      <c r="D26" s="1" t="s">
        <v>77</v>
      </c>
      <c r="E26" s="3">
        <v>4</v>
      </c>
      <c r="F26" s="3">
        <v>12</v>
      </c>
      <c r="G26" s="3">
        <f t="shared" si="0"/>
        <v>48</v>
      </c>
      <c r="H26" s="4" t="s">
        <v>6</v>
      </c>
    </row>
    <row r="27" spans="1:8" ht="28.55" x14ac:dyDescent="0.25">
      <c r="A27" s="1">
        <v>26</v>
      </c>
      <c r="B27" s="1" t="s">
        <v>78</v>
      </c>
      <c r="C27" s="1" t="s">
        <v>79</v>
      </c>
      <c r="D27" s="10" t="s">
        <v>80</v>
      </c>
      <c r="E27" s="3">
        <v>2</v>
      </c>
      <c r="F27" s="3">
        <v>5</v>
      </c>
      <c r="G27" s="3">
        <f t="shared" si="0"/>
        <v>10</v>
      </c>
      <c r="H27" s="4" t="s">
        <v>6</v>
      </c>
    </row>
    <row r="28" spans="1:8" ht="28.55" x14ac:dyDescent="0.25">
      <c r="A28" s="1">
        <v>27</v>
      </c>
      <c r="B28" s="1" t="s">
        <v>81</v>
      </c>
      <c r="C28" s="1" t="s">
        <v>82</v>
      </c>
      <c r="D28" s="1" t="s">
        <v>83</v>
      </c>
      <c r="E28" s="3">
        <v>1</v>
      </c>
      <c r="F28" s="3">
        <v>28</v>
      </c>
      <c r="G28" s="3">
        <f t="shared" si="0"/>
        <v>28</v>
      </c>
      <c r="H28" s="4" t="s">
        <v>6</v>
      </c>
    </row>
  </sheetData>
  <hyperlinks>
    <hyperlink ref="H2" r:id="rId1" xr:uid="{8C4AB76C-FB50-4243-88F4-CF49B7D7B80A}"/>
    <hyperlink ref="H3" r:id="rId2" xr:uid="{62E92C3D-2718-4A0B-B4C2-76023CB1E37E}"/>
    <hyperlink ref="H4" r:id="rId3" xr:uid="{D0E4247D-E42A-4CA7-9426-88EB59AD50D3}"/>
    <hyperlink ref="H5" r:id="rId4" xr:uid="{8516EF09-80EF-4AE2-9F5B-869D484623C6}"/>
    <hyperlink ref="H6" r:id="rId5" display="Order" xr:uid="{B7711570-1170-4651-9A78-6FA068F62FBF}"/>
    <hyperlink ref="I6" r:id="rId6" display="Order" xr:uid="{2DEC798B-5CB5-463C-AEDE-E5D52BDC32C8}"/>
    <hyperlink ref="H7" r:id="rId7" xr:uid="{9CE4F23F-6008-46BB-856D-7358395F0896}"/>
    <hyperlink ref="H8" r:id="rId8" xr:uid="{DB4D5E39-DD4B-462D-9C59-2992FF065558}"/>
    <hyperlink ref="H9" r:id="rId9" xr:uid="{4F74A5B5-2183-4E87-BAD2-E04C9D41AD33}"/>
    <hyperlink ref="H10" r:id="rId10" xr:uid="{8B734886-4E72-49CC-BD72-BFD2A0324B0E}"/>
    <hyperlink ref="H11" r:id="rId11" xr:uid="{77E9D031-4A0E-4636-9389-E7341AA28CB0}"/>
    <hyperlink ref="H12" r:id="rId12" xr:uid="{93F913A5-9D8A-4BC6-99D7-2C870372126D}"/>
    <hyperlink ref="H13" r:id="rId13" xr:uid="{B3FD37EE-D3AF-426F-B75E-16F7949E365A}"/>
    <hyperlink ref="H14" r:id="rId14" xr:uid="{5C735AAD-55D2-4EC2-9FC0-86F37610EBEB}"/>
    <hyperlink ref="H15" r:id="rId15" xr:uid="{31F6501F-1615-42FD-A8FD-E808A803763D}"/>
    <hyperlink ref="H16" r:id="rId16" xr:uid="{9D21AB54-A5EB-4B61-8B6E-3FA009FFC4C7}"/>
    <hyperlink ref="H17" r:id="rId17" xr:uid="{3E252B3D-1A68-462E-94DE-C4B9698440E1}"/>
    <hyperlink ref="H18" r:id="rId18" xr:uid="{C028B6B0-1276-480D-B196-3A14889D69C9}"/>
    <hyperlink ref="H19" r:id="rId19" xr:uid="{4DBDCD71-219C-415F-A30D-3E9C8E3CC177}"/>
    <hyperlink ref="H20" r:id="rId20" xr:uid="{669D4502-EB5A-4F1D-8D07-1DD9E50C8AF6}"/>
    <hyperlink ref="H22" r:id="rId21" xr:uid="{A8A27866-EB7A-40ED-B172-BE2C4AEC6D7D}"/>
    <hyperlink ref="H23" r:id="rId22" xr:uid="{E863079D-0275-4706-A216-35C414C0F650}"/>
    <hyperlink ref="H24" r:id="rId23" xr:uid="{3A2E3BFF-CCFD-4775-96D9-014E581B4704}"/>
    <hyperlink ref="H25" r:id="rId24" xr:uid="{686EEFA9-2ACB-4929-BD4A-C3CD3700A705}"/>
    <hyperlink ref="H26" r:id="rId25" xr:uid="{680CBD2C-8F49-43D1-87D1-99FFF2CBAFCE}"/>
    <hyperlink ref="H27" r:id="rId26" xr:uid="{61788516-A217-4F10-A951-44E08A6CD277}"/>
    <hyperlink ref="H28" r:id="rId27" xr:uid="{BDFD280E-B051-4D67-9FA8-D7568A76456D}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A Muddasir Shah G ㅤ</cp:lastModifiedBy>
  <dcterms:created xsi:type="dcterms:W3CDTF">2015-06-05T18:17:20Z</dcterms:created>
  <dcterms:modified xsi:type="dcterms:W3CDTF">2026-09-20T13:37:12Z</dcterms:modified>
</cp:coreProperties>
</file>